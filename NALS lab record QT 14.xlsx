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ore_Sales" sheetId="1" r:id="rId1"/>
    <sheet name="Summary" sheetId="2" r:id="rId2"/>
    <sheet name="Chart" sheetId="3" r:id="rId3"/>
  </sheets>
  <definedNames>
    <definedName name="_xlnm._FilterDatabase" localSheetId="0" hidden="1">Store_Sales!$C$1:$C$13</definedName>
  </definedNames>
  <calcPr calcId="124519"/>
</workbook>
</file>

<file path=xl/calcChain.xml><?xml version="1.0" encoding="utf-8"?>
<calcChain xmlns="http://schemas.openxmlformats.org/spreadsheetml/2006/main">
  <c r="B2" i="2"/>
  <c r="C4"/>
  <c r="B4"/>
  <c r="C3"/>
  <c r="C2"/>
  <c r="B3"/>
  <c r="K5" i="1"/>
  <c r="J5"/>
  <c r="I10"/>
  <c r="I9"/>
  <c r="I8"/>
  <c r="I7"/>
  <c r="I6"/>
  <c r="I5"/>
  <c r="H10"/>
  <c r="H9"/>
  <c r="H8"/>
  <c r="H7"/>
  <c r="H6"/>
  <c r="H5"/>
  <c r="F7"/>
  <c r="F4"/>
  <c r="F10"/>
  <c r="F3"/>
  <c r="F8"/>
  <c r="F6"/>
  <c r="F9"/>
  <c r="F5"/>
</calcChain>
</file>

<file path=xl/sharedStrings.xml><?xml version="1.0" encoding="utf-8"?>
<sst xmlns="http://schemas.openxmlformats.org/spreadsheetml/2006/main" count="31" uniqueCount="23">
  <si>
    <t>Product</t>
  </si>
  <si>
    <t>Category</t>
  </si>
  <si>
    <t>Quantity</t>
  </si>
  <si>
    <t>Price</t>
  </si>
  <si>
    <t>Total Sales</t>
  </si>
  <si>
    <t>Pen</t>
  </si>
  <si>
    <t>Mouse</t>
  </si>
  <si>
    <t>Keyboard</t>
  </si>
  <si>
    <t>Notebook</t>
  </si>
  <si>
    <t>Store_Sales sheet</t>
  </si>
  <si>
    <t>Date</t>
  </si>
  <si>
    <t>Headphones</t>
  </si>
  <si>
    <t>Electronics</t>
  </si>
  <si>
    <t>Stationery</t>
  </si>
  <si>
    <t>Pen Drive</t>
  </si>
  <si>
    <t>First 3</t>
  </si>
  <si>
    <t>Last 2</t>
  </si>
  <si>
    <t>Max</t>
  </si>
  <si>
    <t>MIN</t>
  </si>
  <si>
    <t>Sels of HeadPhone</t>
  </si>
  <si>
    <t>Month</t>
  </si>
  <si>
    <t>Total Seles</t>
  </si>
  <si>
    <t>Average Sales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</si>
</sst>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Summary!$B$1</c:f>
              <c:strCache>
                <c:ptCount val="1"/>
                <c:pt idx="0">
                  <c:v>Total Seles</c:v>
                </c:pt>
              </c:strCache>
            </c:strRef>
          </c:tx>
          <c:val>
            <c:numRef>
              <c:f>Summary!$B$2:$B$4</c:f>
              <c:numCache>
                <c:formatCode>General</c:formatCode>
                <c:ptCount val="3"/>
                <c:pt idx="0">
                  <c:v>25000</c:v>
                </c:pt>
                <c:pt idx="1">
                  <c:v>10400</c:v>
                </c:pt>
                <c:pt idx="2">
                  <c:v>7400</c:v>
                </c:pt>
              </c:numCache>
            </c:numRef>
          </c:val>
        </c:ser>
        <c:marker val="1"/>
        <c:axId val="44341888"/>
        <c:axId val="44355968"/>
      </c:lineChart>
      <c:catAx>
        <c:axId val="44341888"/>
        <c:scaling>
          <c:orientation val="minMax"/>
        </c:scaling>
        <c:axPos val="b"/>
        <c:tickLblPos val="nextTo"/>
        <c:crossAx val="44355968"/>
        <c:crosses val="autoZero"/>
        <c:auto val="1"/>
        <c:lblAlgn val="ctr"/>
        <c:lblOffset val="100"/>
      </c:catAx>
      <c:valAx>
        <c:axId val="44355968"/>
        <c:scaling>
          <c:orientation val="minMax"/>
        </c:scaling>
        <c:axPos val="l"/>
        <c:majorGridlines/>
        <c:numFmt formatCode="General" sourceLinked="1"/>
        <c:tickLblPos val="nextTo"/>
        <c:crossAx val="44341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66675</xdr:rowOff>
    </xdr:from>
    <xdr:to>
      <xdr:col>5</xdr:col>
      <xdr:colOff>85725</xdr:colOff>
      <xdr:row>14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13"/>
  <sheetViews>
    <sheetView tabSelected="1" workbookViewId="0">
      <selection activeCell="F8" sqref="F8"/>
    </sheetView>
  </sheetViews>
  <sheetFormatPr defaultRowHeight="15"/>
  <cols>
    <col min="1" max="1" width="18" customWidth="1"/>
    <col min="2" max="2" width="12.140625" customWidth="1"/>
    <col min="3" max="3" width="12" customWidth="1"/>
    <col min="4" max="4" width="12.140625" customWidth="1"/>
    <col min="5" max="5" width="10" customWidth="1"/>
    <col min="6" max="6" width="10.85546875" customWidth="1"/>
    <col min="7" max="7" width="16.85546875" style="2" customWidth="1"/>
    <col min="8" max="8" width="12" customWidth="1"/>
  </cols>
  <sheetData>
    <row r="1" spans="1:11" ht="32.25" customHeight="1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"/>
      <c r="K1" s="1"/>
    </row>
    <row r="2" spans="1:11" ht="37.5" customHeight="1">
      <c r="A2" s="4" t="s">
        <v>10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19</v>
      </c>
      <c r="H2" s="15" t="s">
        <v>15</v>
      </c>
      <c r="I2" s="15" t="s">
        <v>16</v>
      </c>
      <c r="J2" s="15" t="s">
        <v>17</v>
      </c>
      <c r="K2" s="15" t="s">
        <v>18</v>
      </c>
    </row>
    <row r="3" spans="1:11" ht="21" hidden="1" customHeight="1">
      <c r="A3" s="10">
        <v>45706</v>
      </c>
      <c r="B3" s="11" t="s">
        <v>8</v>
      </c>
      <c r="C3" s="11" t="s">
        <v>13</v>
      </c>
      <c r="D3" s="11">
        <v>20</v>
      </c>
      <c r="E3" s="11">
        <v>100</v>
      </c>
      <c r="F3" s="12">
        <f>(D3*E3)</f>
        <v>2000</v>
      </c>
      <c r="G3" s="14"/>
    </row>
    <row r="4" spans="1:11" ht="23.25" hidden="1" customHeight="1">
      <c r="A4" s="7">
        <v>45738</v>
      </c>
      <c r="B4" s="8" t="s">
        <v>5</v>
      </c>
      <c r="C4" s="8" t="s">
        <v>13</v>
      </c>
      <c r="D4" s="8">
        <v>50</v>
      </c>
      <c r="E4" s="8">
        <v>20</v>
      </c>
      <c r="F4" s="9">
        <f>(D4*E4)</f>
        <v>1000</v>
      </c>
      <c r="G4" s="14"/>
    </row>
    <row r="5" spans="1:11" ht="20.25" customHeight="1">
      <c r="A5" s="5">
        <v>45658</v>
      </c>
      <c r="B5" s="6" t="s">
        <v>11</v>
      </c>
      <c r="C5" s="6" t="s">
        <v>12</v>
      </c>
      <c r="D5" s="6">
        <v>5</v>
      </c>
      <c r="E5" s="6">
        <v>1000</v>
      </c>
      <c r="F5" s="3">
        <f>(D5*E5)</f>
        <v>5000</v>
      </c>
      <c r="G5" s="3">
        <v>15</v>
      </c>
      <c r="H5" s="1" t="str">
        <f>LEFT(B5,3)</f>
        <v>Hea</v>
      </c>
      <c r="I5" s="1" t="str">
        <f>RIGHT(C5,2)</f>
        <v>cs</v>
      </c>
      <c r="J5" s="1">
        <f>MAX(F5:F10)</f>
        <v>8400</v>
      </c>
      <c r="K5" s="1">
        <f>MIN(F5:F10)</f>
        <v>5000</v>
      </c>
    </row>
    <row r="6" spans="1:11" ht="19.5" customHeight="1">
      <c r="A6" s="5">
        <v>45658</v>
      </c>
      <c r="B6" s="6" t="s">
        <v>11</v>
      </c>
      <c r="C6" s="6" t="s">
        <v>12</v>
      </c>
      <c r="D6" s="6">
        <v>5</v>
      </c>
      <c r="E6" s="6">
        <v>1500</v>
      </c>
      <c r="F6" s="3">
        <f>(D6*E6)</f>
        <v>7500</v>
      </c>
      <c r="G6" s="3"/>
      <c r="H6" s="1" t="str">
        <f>LEFT(B6,3)</f>
        <v>Hea</v>
      </c>
      <c r="I6" s="1" t="str">
        <f>RIGHT(C6,2)</f>
        <v>cs</v>
      </c>
      <c r="J6" s="1"/>
      <c r="K6" s="1"/>
    </row>
    <row r="7" spans="1:11" ht="19.5" customHeight="1">
      <c r="A7" s="5">
        <v>45658</v>
      </c>
      <c r="B7" s="6" t="s">
        <v>11</v>
      </c>
      <c r="C7" s="6" t="s">
        <v>12</v>
      </c>
      <c r="D7" s="6">
        <v>5</v>
      </c>
      <c r="E7" s="6">
        <v>1500</v>
      </c>
      <c r="F7" s="3">
        <f>(D7*E7)</f>
        <v>7500</v>
      </c>
      <c r="G7" s="3"/>
      <c r="H7" s="1" t="str">
        <f>LEFT(B7,3)</f>
        <v>Hea</v>
      </c>
      <c r="I7" s="1" t="str">
        <f>RIGHT(C7,2)</f>
        <v>cs</v>
      </c>
      <c r="J7" s="1"/>
      <c r="K7" s="1"/>
    </row>
    <row r="8" spans="1:11" ht="18.75" customHeight="1">
      <c r="A8" s="5">
        <v>45700</v>
      </c>
      <c r="B8" s="6" t="s">
        <v>7</v>
      </c>
      <c r="C8" s="6" t="s">
        <v>12</v>
      </c>
      <c r="D8" s="6">
        <v>7</v>
      </c>
      <c r="E8" s="6">
        <v>1200</v>
      </c>
      <c r="F8" s="3">
        <f>(D8*E8)</f>
        <v>8400</v>
      </c>
      <c r="G8" s="3"/>
      <c r="H8" s="1" t="str">
        <f>LEFT(B8,3)</f>
        <v>Key</v>
      </c>
      <c r="I8" s="1" t="str">
        <f>RIGHT(C8,2)</f>
        <v>cs</v>
      </c>
      <c r="J8" s="1"/>
      <c r="K8" s="1"/>
    </row>
    <row r="9" spans="1:11" ht="19.5" customHeight="1">
      <c r="A9" s="5">
        <v>45662</v>
      </c>
      <c r="B9" s="6" t="s">
        <v>6</v>
      </c>
      <c r="C9" s="6" t="s">
        <v>12</v>
      </c>
      <c r="D9" s="6">
        <v>10</v>
      </c>
      <c r="E9" s="6">
        <v>500</v>
      </c>
      <c r="F9" s="3">
        <f>(D9*E9)</f>
        <v>5000</v>
      </c>
      <c r="G9" s="3"/>
      <c r="H9" s="1" t="str">
        <f>LEFT(B9,3)</f>
        <v>Mou</v>
      </c>
      <c r="I9" s="1" t="str">
        <f>RIGHT(C9,2)</f>
        <v>cs</v>
      </c>
      <c r="J9" s="1"/>
      <c r="K9" s="1"/>
    </row>
    <row r="10" spans="1:11" ht="21.75" customHeight="1">
      <c r="A10" s="5">
        <v>45726</v>
      </c>
      <c r="B10" s="6" t="s">
        <v>14</v>
      </c>
      <c r="C10" s="6" t="s">
        <v>12</v>
      </c>
      <c r="D10" s="6">
        <v>8</v>
      </c>
      <c r="E10" s="6">
        <v>800</v>
      </c>
      <c r="F10" s="3">
        <f>(D10*E10)</f>
        <v>6400</v>
      </c>
      <c r="G10" s="3"/>
      <c r="H10" s="1" t="str">
        <f>LEFT(B10,3)</f>
        <v>Pen</v>
      </c>
      <c r="I10" s="1" t="str">
        <f>RIGHT(C10,2)</f>
        <v>cs</v>
      </c>
      <c r="J10" s="1"/>
      <c r="K10" s="1"/>
    </row>
    <row r="11" spans="1:11" ht="18.75" hidden="1" customHeight="1"/>
    <row r="12" spans="1:11" ht="21" hidden="1" customHeight="1"/>
    <row r="13" spans="1:11" hidden="1"/>
  </sheetData>
  <autoFilter ref="C1:C13">
    <filterColumn colId="0">
      <filters>
        <filter val="Category"/>
        <filter val="Electronics"/>
      </filters>
    </filterColumn>
  </autoFilter>
  <sortState ref="A3:F12">
    <sortCondition descending="1" ref="C2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1" sqref="B1:B4"/>
    </sheetView>
  </sheetViews>
  <sheetFormatPr defaultRowHeight="15"/>
  <cols>
    <col min="1" max="1" width="12" customWidth="1"/>
    <col min="2" max="2" width="13.28515625" customWidth="1"/>
    <col min="3" max="3" width="14.140625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s="16">
        <v>45658</v>
      </c>
      <c r="B2" s="1">
        <f>SUMIFS(Store_Sales!F:F, Store_Sales!A:A, "&gt;=01-01-2025", Store_Sales!A:A, "&lt;=31-01-2025")</f>
        <v>25000</v>
      </c>
      <c r="C2" s="1">
        <f>AVERAGEIFS(Store_Sales!F:F, Store_Sales!A:A, "&gt;=01-01-2025", Store_Sales!A:A, "&lt;=31-01-2025")</f>
        <v>6250</v>
      </c>
    </row>
    <row r="3" spans="1:3">
      <c r="A3" s="16">
        <v>45689</v>
      </c>
      <c r="B3" s="1">
        <f>SUMIFS(Store_Sales!F:F, Store_Sales!A:A, "&gt;=01-02-2025", Store_Sales!A:A, "&lt;=28-02-2025")</f>
        <v>10400</v>
      </c>
      <c r="C3" s="1">
        <f>AVERAGEIFS(Store_Sales!F:F, Store_Sales!A:A, "&gt;=01-02-2025", Store_Sales!A:A, "&lt;=28-02-2025")</f>
        <v>5200</v>
      </c>
    </row>
    <row r="4" spans="1:3">
      <c r="A4" s="16">
        <v>45717</v>
      </c>
      <c r="B4" s="1">
        <f>SUMIFS(Store_Sales!F:F, Store_Sales!A:A, "&gt;=01-03-2025", Store_Sales!A:A, "&lt;=31-03-2025")</f>
        <v>7400</v>
      </c>
      <c r="C4" s="1">
        <f>AVERAGEIFS(Store_Sales!F:F, Store_Sales!A:A, "&gt;=01-03-2025", Store_Sales!A:A, "&lt;=31-03-2025")</f>
        <v>3700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3" sqref="G13"/>
    </sheetView>
  </sheetViews>
  <sheetFormatPr defaultRowHeight="15"/>
  <cols>
    <col min="1" max="2" width="15.7109375" customWidth="1"/>
    <col min="3" max="3" width="15.140625" customWidth="1"/>
    <col min="4" max="4" width="11" customWidth="1"/>
    <col min="5" max="6" width="11.140625" customWidth="1"/>
    <col min="7" max="7" width="18.140625" customWidth="1"/>
    <col min="12" max="12" width="10.85546875" customWidth="1"/>
  </cols>
  <sheetData/>
  <sheetProtection password="CFF5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2025-12-31T06:00:19Z</dcterms:created>
  <dcterms:modified xsi:type="dcterms:W3CDTF">2025-12-31T12:10:28Z</dcterms:modified>
</cp:coreProperties>
</file>