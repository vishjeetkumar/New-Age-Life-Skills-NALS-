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Expense" sheetId="1" r:id="rId1"/>
    <sheet name="Budget" sheetId="2" r:id="rId2"/>
    <sheet name="Charts" sheetId="3" r:id="rId3"/>
  </sheets>
  <externalReferences>
    <externalReference r:id="rId4"/>
  </externalReferenc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/>
  <c r="D5"/>
  <c r="D4"/>
  <c r="D3"/>
  <c r="D2"/>
</calcChain>
</file>

<file path=xl/sharedStrings.xml><?xml version="1.0" encoding="utf-8"?>
<sst xmlns="http://schemas.openxmlformats.org/spreadsheetml/2006/main" count="60" uniqueCount="38">
  <si>
    <t>Date</t>
  </si>
  <si>
    <t>Category</t>
  </si>
  <si>
    <t>Expense Detail</t>
  </si>
  <si>
    <t>Amount (₹)</t>
  </si>
  <si>
    <t>Payment Method</t>
  </si>
  <si>
    <t>Food</t>
  </si>
  <si>
    <t>Lunch</t>
  </si>
  <si>
    <t>Cash</t>
  </si>
  <si>
    <t>Travel</t>
  </si>
  <si>
    <t>Bus Pass</t>
  </si>
  <si>
    <t>UPI</t>
  </si>
  <si>
    <t>Shopping</t>
  </si>
  <si>
    <t>Clothes</t>
  </si>
  <si>
    <t>Card</t>
  </si>
  <si>
    <t>Fees</t>
  </si>
  <si>
    <t>Exam Fees</t>
  </si>
  <si>
    <t>Dinner</t>
  </si>
  <si>
    <t>Taxi</t>
  </si>
  <si>
    <t>Shoes</t>
  </si>
  <si>
    <t>Snacks</t>
  </si>
  <si>
    <t>Other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</si>
  <si>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</si>
  <si>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</si>
  <si>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</si>
  <si>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</si>
  <si>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</si>
  <si>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</si>
  <si>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</si>
  <si>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Accessories</t>
  </si>
  <si>
    <t>Library Fees</t>
  </si>
  <si>
    <t>Medicine</t>
  </si>
  <si>
    <t>Cab</t>
  </si>
  <si>
    <t>Total Spending</t>
  </si>
  <si>
    <t>Bodget</t>
  </si>
  <si>
    <t>Actucal</t>
  </si>
  <si>
    <t>Difference</t>
  </si>
  <si>
    <t>Shoopping</t>
  </si>
  <si>
    <t>Fess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</si>
</sst>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pieChart>
        <c:varyColors val="1"/>
        <c:ser>
          <c:idx val="0"/>
          <c:order val="0"/>
          <c:tx>
            <c:strRef>
              <c:f>Budget!$B$1</c:f>
              <c:strCache>
                <c:ptCount val="1"/>
                <c:pt idx="0">
                  <c:v>Bodget</c:v>
                </c:pt>
              </c:strCache>
            </c:strRef>
          </c:tx>
          <c:dLbls>
            <c:dLbl>
              <c:idx val="4"/>
              <c:layout>
                <c:manualLayout>
                  <c:x val="2.8109237210400602E-2"/>
                  <c:y val="1.4423076923076924E-2"/>
                </c:manualLayout>
              </c:layout>
              <c:showVal val="1"/>
              <c:showCatName val="1"/>
            </c:dLbl>
            <c:showVal val="1"/>
            <c:showCatName val="1"/>
            <c:showLeaderLines val="1"/>
          </c:dLbls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Shoopping</c:v>
                </c:pt>
                <c:pt idx="3">
                  <c:v>Fess</c:v>
                </c:pt>
                <c:pt idx="4">
                  <c:v>Other</c:v>
                </c:pt>
              </c:strCache>
            </c:strRef>
          </c:cat>
          <c:val>
            <c:numRef>
              <c:f>Budget!$B$2:$B$6</c:f>
              <c:numCache>
                <c:formatCode>General</c:formatCode>
                <c:ptCount val="5"/>
                <c:pt idx="0">
                  <c:v>5000</c:v>
                </c:pt>
                <c:pt idx="1">
                  <c:v>7000</c:v>
                </c:pt>
                <c:pt idx="2">
                  <c:v>6000</c:v>
                </c:pt>
                <c:pt idx="3">
                  <c:v>4500</c:v>
                </c:pt>
                <c:pt idx="4">
                  <c:v>3000</c:v>
                </c:pt>
              </c:numCache>
            </c:numRef>
          </c:val>
        </c:ser>
        <c:dLbls>
          <c:showVal val="1"/>
          <c:showCatName val="1"/>
        </c:dLbls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autoTitleDeleted val="1"/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Budget!$B$1</c:f>
              <c:strCache>
                <c:ptCount val="1"/>
                <c:pt idx="0">
                  <c:v>Bodget</c:v>
                </c:pt>
              </c:strCache>
            </c:strRef>
          </c:tx>
          <c:val>
            <c:numRef>
              <c:f>Budget!$B$2:$B$6</c:f>
              <c:numCache>
                <c:formatCode>General</c:formatCode>
                <c:ptCount val="5"/>
                <c:pt idx="0">
                  <c:v>5000</c:v>
                </c:pt>
                <c:pt idx="1">
                  <c:v>7000</c:v>
                </c:pt>
                <c:pt idx="2">
                  <c:v>6000</c:v>
                </c:pt>
                <c:pt idx="3">
                  <c:v>4500</c:v>
                </c:pt>
                <c:pt idx="4">
                  <c:v>3000</c:v>
                </c:pt>
              </c:numCache>
            </c:numRef>
          </c:val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Actucal</c:v>
                </c:pt>
              </c:strCache>
            </c:strRef>
          </c:tx>
          <c:val>
            <c:numRef>
              <c:f>Budget!$C$2:$C$6</c:f>
              <c:numCache>
                <c:formatCode>General</c:formatCode>
                <c:ptCount val="5"/>
                <c:pt idx="0">
                  <c:v>1280</c:v>
                </c:pt>
                <c:pt idx="1">
                  <c:v>5200</c:v>
                </c:pt>
                <c:pt idx="2">
                  <c:v>9300</c:v>
                </c:pt>
                <c:pt idx="3">
                  <c:v>5800</c:v>
                </c:pt>
                <c:pt idx="4">
                  <c:v>4398</c:v>
                </c:pt>
              </c:numCache>
            </c:numRef>
          </c:val>
        </c:ser>
        <c:dLbls/>
        <c:shape val="cylinder"/>
        <c:axId val="163997184"/>
        <c:axId val="164022144"/>
        <c:axId val="0"/>
      </c:bar3DChart>
      <c:catAx>
        <c:axId val="163997184"/>
        <c:scaling>
          <c:orientation val="minMax"/>
        </c:scaling>
        <c:axPos val="l"/>
        <c:tickLblPos val="nextTo"/>
        <c:crossAx val="164022144"/>
        <c:crosses val="autoZero"/>
        <c:auto val="1"/>
        <c:lblAlgn val="ctr"/>
        <c:lblOffset val="100"/>
      </c:catAx>
      <c:valAx>
        <c:axId val="164022144"/>
        <c:scaling>
          <c:orientation val="minMax"/>
        </c:scaling>
        <c:axPos val="b"/>
        <c:majorGridlines/>
        <c:numFmt formatCode="General" sourceLinked="1"/>
        <c:tickLblPos val="nextTo"/>
        <c:crossAx val="1639971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4</xdr:col>
      <xdr:colOff>9525</xdr:colOff>
      <xdr:row>11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276225</xdr:colOff>
      <xdr:row>0</xdr:row>
      <xdr:rowOff>95249</xdr:rowOff>
    </xdr:from>
    <xdr:to>
      <xdr:col>10</xdr:col>
      <xdr:colOff>476250</xdr:colOff>
      <xdr:row>12</xdr:row>
      <xdr:rowOff>123824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cuments/Practical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udent_Data"/>
      <sheetName val="Mark_Analyis"/>
      <sheetName val="Data"/>
    </sheetNames>
    <sheetDataSet>
      <sheetData sheetId="0">
        <row r="2">
          <cell r="K2" t="str">
            <v>Pass/Failed</v>
          </cell>
        </row>
        <row r="3">
          <cell r="K3" t="str">
            <v>Pass</v>
          </cell>
        </row>
        <row r="4">
          <cell r="K4" t="str">
            <v>Fail</v>
          </cell>
        </row>
        <row r="5">
          <cell r="K5" t="str">
            <v>Pass</v>
          </cell>
        </row>
        <row r="6">
          <cell r="K6" t="str">
            <v>Fail</v>
          </cell>
        </row>
        <row r="7">
          <cell r="K7" t="str">
            <v>Pass</v>
          </cell>
        </row>
        <row r="8">
          <cell r="K8" t="str">
            <v>Fail</v>
          </cell>
        </row>
        <row r="9">
          <cell r="K9" t="str">
            <v>Pass</v>
          </cell>
        </row>
        <row r="10">
          <cell r="K10" t="str">
            <v>Fail</v>
          </cell>
        </row>
        <row r="11">
          <cell r="K11" t="str">
            <v>Fail</v>
          </cell>
        </row>
        <row r="12">
          <cell r="K12" t="str">
            <v>Pass</v>
          </cell>
        </row>
        <row r="13">
          <cell r="K13" t="str">
            <v>Pass</v>
          </cell>
        </row>
        <row r="14">
          <cell r="K14" t="str">
            <v>Pass</v>
          </cell>
        </row>
        <row r="15">
          <cell r="K15" t="str">
            <v>Pass</v>
          </cell>
        </row>
        <row r="16">
          <cell r="K16" t="str">
            <v>Pass</v>
          </cell>
        </row>
        <row r="17">
          <cell r="K17" t="str">
            <v>Fail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zoomScale="85" zoomScaleNormal="85" zoomScalePageLayoutView="64" workbookViewId="0">
      <selection activeCell="I3" sqref="I3"/>
    </sheetView>
  </sheetViews>
  <sheetFormatPr defaultRowHeight="14.25"/>
  <cols>
    <col min="1" max="2" width="17.125" style="1" customWidth="1"/>
    <col min="3" max="3" width="19" style="1" customWidth="1"/>
    <col min="4" max="4" width="17.125" style="1" customWidth="1"/>
    <col min="5" max="5" width="21.75" style="1" customWidth="1"/>
    <col min="6" max="6" width="19" customWidth="1"/>
  </cols>
  <sheetData>
    <row r="1" spans="1:6" ht="29.4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32</v>
      </c>
    </row>
    <row r="2" spans="1:6" ht="21.95" customHeight="1">
      <c r="A2" s="3">
        <v>45658</v>
      </c>
      <c r="B2" s="2" t="s">
        <v>5</v>
      </c>
      <c r="C2" s="2" t="s">
        <v>6</v>
      </c>
      <c r="D2" s="2">
        <v>250</v>
      </c>
      <c r="E2" s="2" t="s">
        <v>7</v>
      </c>
      <c r="F2" s="6">
        <v>1280</v>
      </c>
    </row>
    <row r="3" spans="1:6" ht="21.95" customHeight="1">
      <c r="A3" s="3">
        <v>45659</v>
      </c>
      <c r="B3" s="2" t="s">
        <v>8</v>
      </c>
      <c r="C3" s="2" t="s">
        <v>9</v>
      </c>
      <c r="D3" s="2">
        <v>1200</v>
      </c>
      <c r="E3" s="2" t="s">
        <v>10</v>
      </c>
      <c r="F3" s="6">
        <v>5200</v>
      </c>
    </row>
    <row r="4" spans="1:6" ht="21.95" customHeight="1">
      <c r="A4" s="3">
        <v>45660</v>
      </c>
      <c r="B4" s="2" t="s">
        <v>11</v>
      </c>
      <c r="C4" s="2" t="s">
        <v>12</v>
      </c>
      <c r="D4" s="2">
        <v>3200</v>
      </c>
      <c r="E4" s="2" t="s">
        <v>13</v>
      </c>
      <c r="F4" s="6">
        <v>9300</v>
      </c>
    </row>
    <row r="5" spans="1:6" ht="21.95" customHeight="1">
      <c r="A5" s="3">
        <v>45661</v>
      </c>
      <c r="B5" s="2" t="s">
        <v>14</v>
      </c>
      <c r="C5" s="2" t="s">
        <v>15</v>
      </c>
      <c r="D5" s="2">
        <v>1500</v>
      </c>
      <c r="E5" s="2" t="s">
        <v>10</v>
      </c>
      <c r="F5" s="6">
        <v>5800</v>
      </c>
    </row>
    <row r="6" spans="1:6" ht="21.95" customHeight="1">
      <c r="A6" s="3">
        <v>45662</v>
      </c>
      <c r="B6" s="2" t="s">
        <v>20</v>
      </c>
      <c r="C6" s="2" t="s">
        <v>16</v>
      </c>
      <c r="D6" s="2">
        <v>400</v>
      </c>
      <c r="E6" s="2" t="s">
        <v>7</v>
      </c>
      <c r="F6" s="6">
        <v>4398</v>
      </c>
    </row>
    <row r="7" spans="1:6" ht="21.95" customHeight="1">
      <c r="A7" s="3">
        <v>45663</v>
      </c>
      <c r="B7" s="6"/>
      <c r="C7" s="2" t="s">
        <v>17</v>
      </c>
      <c r="D7" s="2">
        <v>2200</v>
      </c>
      <c r="E7" s="2" t="s">
        <v>13</v>
      </c>
      <c r="F7" s="6"/>
    </row>
    <row r="8" spans="1:6" ht="21.95" customHeight="1">
      <c r="A8" s="3">
        <v>45664</v>
      </c>
      <c r="B8" s="6"/>
      <c r="C8" s="2" t="s">
        <v>18</v>
      </c>
      <c r="D8" s="2">
        <v>2800</v>
      </c>
      <c r="E8" s="2" t="s">
        <v>10</v>
      </c>
      <c r="F8" s="6"/>
    </row>
    <row r="9" spans="1:6" ht="21.95" customHeight="1">
      <c r="A9" s="3">
        <v>45665</v>
      </c>
      <c r="B9" s="6"/>
      <c r="C9" s="2" t="s">
        <v>19</v>
      </c>
      <c r="D9" s="2">
        <v>150</v>
      </c>
      <c r="E9" s="2" t="s">
        <v>7</v>
      </c>
      <c r="F9" s="6"/>
    </row>
    <row r="10" spans="1:6" ht="21.95" customHeight="1">
      <c r="A10" s="3">
        <v>45666</v>
      </c>
      <c r="B10" s="6"/>
      <c r="C10" s="2" t="s">
        <v>21</v>
      </c>
      <c r="D10" s="2">
        <v>299</v>
      </c>
      <c r="E10" s="2" t="s">
        <v>10</v>
      </c>
      <c r="F10" s="6"/>
    </row>
    <row r="11" spans="1:6" ht="21.95" customHeight="1">
      <c r="A11" s="3">
        <v>45667</v>
      </c>
      <c r="B11" s="6"/>
      <c r="C11" s="2" t="s">
        <v>22</v>
      </c>
      <c r="D11" s="2">
        <v>1800</v>
      </c>
      <c r="E11" s="2" t="s">
        <v>13</v>
      </c>
      <c r="F11" s="6"/>
    </row>
    <row r="12" spans="1:6" ht="21.95" customHeight="1">
      <c r="A12" s="3">
        <v>45668</v>
      </c>
      <c r="B12" s="6"/>
      <c r="C12" s="2" t="s">
        <v>23</v>
      </c>
      <c r="D12" s="2">
        <v>3500</v>
      </c>
      <c r="E12" s="2" t="s">
        <v>10</v>
      </c>
      <c r="F12" s="6"/>
    </row>
    <row r="13" spans="1:6" ht="21.95" customHeight="1">
      <c r="A13" s="3">
        <v>45669</v>
      </c>
      <c r="B13" s="6"/>
      <c r="C13" s="2" t="s">
        <v>24</v>
      </c>
      <c r="D13" s="2">
        <v>2100</v>
      </c>
      <c r="E13" s="2" t="s">
        <v>13</v>
      </c>
      <c r="F13" s="6"/>
    </row>
    <row r="14" spans="1:6" ht="21.95" customHeight="1">
      <c r="A14" s="3">
        <v>45670</v>
      </c>
      <c r="B14" s="6"/>
      <c r="C14" s="2" t="s">
        <v>25</v>
      </c>
      <c r="D14" s="2">
        <v>180</v>
      </c>
      <c r="E14" s="2" t="s">
        <v>7</v>
      </c>
      <c r="F14" s="6"/>
    </row>
    <row r="15" spans="1:6" ht="21.95" customHeight="1">
      <c r="A15" s="3">
        <v>45671</v>
      </c>
      <c r="B15" s="6"/>
      <c r="C15" s="2" t="s">
        <v>26</v>
      </c>
      <c r="D15" s="2">
        <v>999</v>
      </c>
      <c r="E15" s="2" t="s">
        <v>10</v>
      </c>
      <c r="F15" s="6"/>
    </row>
    <row r="16" spans="1:6" ht="21.95" customHeight="1">
      <c r="A16" s="3">
        <v>45672</v>
      </c>
      <c r="B16" s="6"/>
      <c r="C16" s="2" t="s">
        <v>27</v>
      </c>
      <c r="D16" s="2">
        <v>2500</v>
      </c>
      <c r="E16" s="2" t="s">
        <v>7</v>
      </c>
      <c r="F16" s="6"/>
    </row>
    <row r="17" spans="1:6" ht="21.95" customHeight="1">
      <c r="A17" s="3">
        <v>45673</v>
      </c>
      <c r="B17" s="6"/>
      <c r="C17" s="2" t="s">
        <v>6</v>
      </c>
      <c r="D17" s="2">
        <v>300</v>
      </c>
      <c r="E17" s="2" t="s">
        <v>10</v>
      </c>
      <c r="F17" s="6"/>
    </row>
    <row r="18" spans="1:6" ht="21.95" customHeight="1">
      <c r="A18" s="3">
        <v>45674</v>
      </c>
      <c r="B18" s="6"/>
      <c r="C18" s="2" t="s">
        <v>28</v>
      </c>
      <c r="D18" s="2">
        <v>1200</v>
      </c>
      <c r="E18" s="2" t="s">
        <v>13</v>
      </c>
      <c r="F18" s="6"/>
    </row>
    <row r="19" spans="1:6" ht="21.95" customHeight="1">
      <c r="A19" s="3">
        <v>45675</v>
      </c>
      <c r="B19" s="6"/>
      <c r="C19" s="2" t="s">
        <v>29</v>
      </c>
      <c r="D19" s="2">
        <v>800</v>
      </c>
      <c r="E19" s="2" t="s">
        <v>7</v>
      </c>
      <c r="F19" s="6"/>
    </row>
    <row r="20" spans="1:6" ht="21.95" customHeight="1">
      <c r="A20" s="3">
        <v>45676</v>
      </c>
      <c r="B20" s="6"/>
      <c r="C20" s="2" t="s">
        <v>30</v>
      </c>
      <c r="D20" s="2">
        <v>600</v>
      </c>
      <c r="E20" s="2" t="s">
        <v>7</v>
      </c>
      <c r="F20" s="6"/>
    </row>
    <row r="21" spans="1:6" ht="21.95" customHeight="1">
      <c r="A21" s="3">
        <v>45677</v>
      </c>
      <c r="B21" s="6"/>
      <c r="C21" s="2" t="s">
        <v>31</v>
      </c>
      <c r="D21" s="2">
        <v>2300</v>
      </c>
      <c r="E21" s="2" t="s">
        <v>10</v>
      </c>
      <c r="F21" s="6"/>
    </row>
  </sheetData>
  <dataConsolidate/>
  <conditionalFormatting sqref="D1:D1048576 F1:F1048576">
    <cfRule type="cellIs" dxfId="0" priority="2" operator="greaterThan">
      <formula>2000</formula>
    </cfRule>
  </conditionalFormatting>
  <pageMargins left="0.7" right="0.69791666666666663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B1" sqref="B1:C6"/>
    </sheetView>
  </sheetViews>
  <sheetFormatPr defaultRowHeight="14.25"/>
  <cols>
    <col min="1" max="1" width="10.875" customWidth="1"/>
    <col min="2" max="2" width="11" customWidth="1"/>
    <col min="3" max="3" width="10.75" customWidth="1"/>
    <col min="4" max="4" width="11.125" customWidth="1"/>
  </cols>
  <sheetData>
    <row r="1" spans="1:4">
      <c r="A1" s="2" t="s">
        <v>1</v>
      </c>
      <c r="B1" s="2" t="s">
        <v>33</v>
      </c>
      <c r="C1" s="2" t="s">
        <v>34</v>
      </c>
      <c r="D1" s="2" t="s">
        <v>35</v>
      </c>
    </row>
    <row r="2" spans="1:4">
      <c r="A2" s="2" t="s">
        <v>5</v>
      </c>
      <c r="B2" s="2">
        <v>5000</v>
      </c>
      <c r="C2" s="2">
        <v>1280</v>
      </c>
      <c r="D2" s="2">
        <f>(B2-C2)</f>
        <v>3720</v>
      </c>
    </row>
    <row r="3" spans="1:4">
      <c r="A3" s="2" t="s">
        <v>8</v>
      </c>
      <c r="B3" s="2">
        <v>7000</v>
      </c>
      <c r="C3" s="2">
        <v>5200</v>
      </c>
      <c r="D3" s="2">
        <f>(B3-C3)</f>
        <v>1800</v>
      </c>
    </row>
    <row r="4" spans="1:4">
      <c r="A4" s="2" t="s">
        <v>36</v>
      </c>
      <c r="B4" s="2">
        <v>6000</v>
      </c>
      <c r="C4" s="2">
        <v>9300</v>
      </c>
      <c r="D4" s="2">
        <f>(B4-C4)</f>
        <v>-3300</v>
      </c>
    </row>
    <row r="5" spans="1:4">
      <c r="A5" s="2" t="s">
        <v>37</v>
      </c>
      <c r="B5" s="2">
        <v>4500</v>
      </c>
      <c r="C5" s="2">
        <v>5800</v>
      </c>
      <c r="D5" s="2">
        <f>(B5-C5)</f>
        <v>-1300</v>
      </c>
    </row>
    <row r="6" spans="1:4">
      <c r="A6" s="2" t="s">
        <v>20</v>
      </c>
      <c r="B6" s="2">
        <v>3000</v>
      </c>
      <c r="C6" s="2">
        <v>4398</v>
      </c>
      <c r="D6" s="2">
        <f>(B6-C6)</f>
        <v>-1398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16" sqref="J16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</vt:lpstr>
      <vt:lpstr>Budget</vt:lpstr>
      <vt:lpstr>Charts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hp</cp:lastModifiedBy>
  <dcterms:created xsi:type="dcterms:W3CDTF">2025-12-31T04:19:25Z</dcterms:created>
  <dcterms:modified xsi:type="dcterms:W3CDTF">2025-12-31T13:41:02Z</dcterms:modified>
</cp:coreProperties>
</file>